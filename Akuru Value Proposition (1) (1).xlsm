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9040" windowHeight="15720"/>
  </bookViews>
  <sheets>
    <sheet name="Sheet2" sheetId="2" r:id="rId1"/>
  </sheets>
  <definedNames>
    <definedName name="break_length">Sheet2!$G$76</definedName>
    <definedName name="break_time">Sheet2!$G$75</definedName>
    <definedName name="fee_new">Sheet2!$G$78</definedName>
    <definedName name="fee_review">Sheet2!$G$79</definedName>
    <definedName name="finish_time">Sheet2!$G$70</definedName>
    <definedName name="M1_bot">Sheet2!$B$49</definedName>
    <definedName name="M1_top">Sheet2!$B$6</definedName>
    <definedName name="M2_bot">Sheet2!$I$49</definedName>
    <definedName name="M2_top">Sheet2!$I$6</definedName>
    <definedName name="M3_bot">Sheet2!$P$49</definedName>
    <definedName name="M3_top">Sheet2!$P$6</definedName>
    <definedName name="P_new">Sheet2!$G$72</definedName>
    <definedName name="P_review">Sheet2!$G$73</definedName>
    <definedName name="patents">Sheet2!$E$82</definedName>
    <definedName name="start_time">Sheet2!$G$69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0" i="2" l="1"/>
  <c r="U60" i="2" s="1"/>
  <c r="S59" i="2"/>
  <c r="U59" i="2" s="1"/>
  <c r="M60" i="2"/>
  <c r="M59" i="2"/>
  <c r="L60" i="2"/>
  <c r="L59" i="2"/>
  <c r="N59" i="2" s="1"/>
  <c r="F60" i="2"/>
  <c r="F59" i="2"/>
  <c r="E60" i="2"/>
  <c r="E59" i="2"/>
  <c r="N60" i="2" l="1"/>
  <c r="N61" i="2" s="1"/>
  <c r="G60" i="2"/>
  <c r="G59" i="2"/>
  <c r="U61" i="2"/>
  <c r="G61" i="2" l="1"/>
  <c r="N62" i="2" s="1"/>
  <c r="N63" i="2" s="1"/>
  <c r="U62" i="2" l="1"/>
  <c r="U63" i="2" s="1"/>
</calcChain>
</file>

<file path=xl/sharedStrings.xml><?xml version="1.0" encoding="utf-8"?>
<sst xmlns="http://schemas.openxmlformats.org/spreadsheetml/2006/main" count="179" uniqueCount="61">
  <si>
    <t>Not Available</t>
  </si>
  <si>
    <t>Appointment</t>
  </si>
  <si>
    <t>Type</t>
  </si>
  <si>
    <t>Review</t>
  </si>
  <si>
    <t>New</t>
  </si>
  <si>
    <t>Aopointment</t>
  </si>
  <si>
    <t>Baseline</t>
  </si>
  <si>
    <t>Revenue</t>
  </si>
  <si>
    <t>Total</t>
  </si>
  <si>
    <t>Start Time</t>
  </si>
  <si>
    <t>Finish Time</t>
  </si>
  <si>
    <t>Length</t>
  </si>
  <si>
    <t>Session Metrics</t>
  </si>
  <si>
    <t>Consult Metrics</t>
  </si>
  <si>
    <t>Review Patient Time</t>
  </si>
  <si>
    <t>New Patient Time</t>
  </si>
  <si>
    <t>Catch up / Breaks</t>
  </si>
  <si>
    <t>Time Taken</t>
  </si>
  <si>
    <t>New Patient Fee</t>
  </si>
  <si>
    <t>Review Patient Fee</t>
  </si>
  <si>
    <t>Rules</t>
  </si>
  <si>
    <t>Review only</t>
  </si>
  <si>
    <t>Remove any Breaks / catch up breaks</t>
  </si>
  <si>
    <t>Example Shown</t>
  </si>
  <si>
    <t>Model 1</t>
  </si>
  <si>
    <t>Model 2</t>
  </si>
  <si>
    <t>Model 3</t>
  </si>
  <si>
    <t>Add in Review Patients</t>
  </si>
  <si>
    <t>Add in New &amp; Review Patients - alternating</t>
  </si>
  <si>
    <t>If appointment is &gt; 19 min then reduce by 5min</t>
  </si>
  <si>
    <t>If appointment is &gt; 29 min then reduce by 10min</t>
  </si>
  <si>
    <t>If appointment is &gt; 44min then reduce 15min</t>
  </si>
  <si>
    <t>If appointment is &gt; 59min then reduce by 20 min</t>
  </si>
  <si>
    <t>@</t>
  </si>
  <si>
    <t>Patients</t>
  </si>
  <si>
    <t>P12</t>
  </si>
  <si>
    <t>Tele</t>
  </si>
  <si>
    <t>minutes</t>
  </si>
  <si>
    <t>P13</t>
  </si>
  <si>
    <t>P14</t>
  </si>
  <si>
    <t>P15</t>
  </si>
  <si>
    <t>P16</t>
  </si>
  <si>
    <t>P17</t>
  </si>
  <si>
    <t>P18</t>
  </si>
  <si>
    <t>P19</t>
  </si>
  <si>
    <t>new</t>
  </si>
  <si>
    <t>tele</t>
  </si>
  <si>
    <t>Break Time</t>
  </si>
  <si>
    <t>break time</t>
  </si>
  <si>
    <t>review</t>
  </si>
  <si>
    <t>roman</t>
  </si>
  <si>
    <t>Cristian</t>
  </si>
  <si>
    <t>alex</t>
  </si>
  <si>
    <t>leo</t>
  </si>
  <si>
    <t>amann</t>
  </si>
  <si>
    <t>jade</t>
  </si>
  <si>
    <t>peke</t>
  </si>
  <si>
    <t>cool</t>
  </si>
  <si>
    <t>Work</t>
  </si>
  <si>
    <t>Work A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</si>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</sst>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44" formatCode="_(&quot;$&quot;* #,##0.00_);_(&quot;$&quot;* \(#,##0.00\);_(&quot;$&quot;* &quot;-&quot;??_);_(@_)"/>
  </numFmts>
  <fonts count="8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FF0000"/>
      <name val="Verdana"/>
      <family val="2"/>
    </font>
    <font>
      <sz val="10"/>
      <name val="Verdana"/>
      <family val="2"/>
    </font>
    <font>
      <sz val="8"/>
      <name val="Aptos Narrow"/>
      <family val="2"/>
      <scheme val="minor"/>
    </font>
    <font>
      <sz val="12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94DC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C7AC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2" fillId="0" borderId="1" xfId="0" applyFont="1" applyBorder="1"/>
    <xf numFmtId="0" fontId="3" fillId="0" borderId="0" xfId="0" applyFont="1"/>
    <xf numFmtId="0" fontId="3" fillId="0" borderId="1" xfId="0" applyFont="1" applyBorder="1"/>
    <xf numFmtId="44" fontId="3" fillId="0" borderId="1" xfId="0" applyNumberFormat="1" applyFont="1" applyBorder="1"/>
    <xf numFmtId="9" fontId="3" fillId="0" borderId="1" xfId="2" applyFont="1" applyBorder="1"/>
    <xf numFmtId="0" fontId="5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6" fontId="4" fillId="0" borderId="0" xfId="0" applyNumberFormat="1" applyFont="1" applyAlignment="1">
      <alignment horizontal="center"/>
    </xf>
    <xf numFmtId="0" fontId="2" fillId="0" borderId="0" xfId="0" applyFont="1" applyFill="1"/>
    <xf numFmtId="0" fontId="2" fillId="0" borderId="0" xfId="0" applyFont="1" applyFill="1" applyBorder="1"/>
    <xf numFmtId="0" fontId="2" fillId="0" borderId="1" xfId="0" applyFont="1" applyFill="1" applyBorder="1"/>
    <xf numFmtId="0" fontId="2" fillId="0" borderId="0" xfId="0" applyFont="1" applyBorder="1"/>
    <xf numFmtId="0" fontId="3" fillId="0" borderId="1" xfId="0" applyFont="1" applyFill="1" applyBorder="1"/>
    <xf numFmtId="44" fontId="2" fillId="0" borderId="1" xfId="1" applyFont="1" applyFill="1" applyBorder="1"/>
    <xf numFmtId="44" fontId="3" fillId="0" borderId="1" xfId="0" applyNumberFormat="1" applyFont="1" applyFill="1" applyBorder="1"/>
    <xf numFmtId="0" fontId="3" fillId="0" borderId="0" xfId="0" applyFont="1" applyFill="1"/>
    <xf numFmtId="44" fontId="3" fillId="0" borderId="1" xfId="1" applyFont="1" applyFill="1" applyBorder="1"/>
    <xf numFmtId="0" fontId="2" fillId="3" borderId="3" xfId="0" applyFont="1" applyFill="1" applyBorder="1"/>
    <xf numFmtId="0" fontId="2" fillId="3" borderId="0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4" borderId="4" xfId="0" applyFont="1" applyFill="1" applyBorder="1"/>
    <xf numFmtId="0" fontId="2" fillId="4" borderId="5" xfId="0" applyFont="1" applyFill="1" applyBorder="1"/>
    <xf numFmtId="0" fontId="2" fillId="5" borderId="4" xfId="0" applyFont="1" applyFill="1" applyBorder="1"/>
    <xf numFmtId="0" fontId="2" fillId="5" borderId="5" xfId="0" applyFont="1" applyFill="1" applyBorder="1"/>
    <xf numFmtId="0" fontId="2" fillId="6" borderId="2" xfId="0" applyFont="1" applyFill="1" applyBorder="1"/>
    <xf numFmtId="0" fontId="2" fillId="6" borderId="4" xfId="0" applyFont="1" applyFill="1" applyBorder="1"/>
    <xf numFmtId="0" fontId="2" fillId="6" borderId="5" xfId="0" applyFont="1" applyFill="1" applyBorder="1"/>
    <xf numFmtId="0" fontId="2" fillId="6" borderId="9" xfId="0" applyFont="1" applyFill="1" applyBorder="1"/>
    <xf numFmtId="0" fontId="2" fillId="6" borderId="10" xfId="0" applyFont="1" applyFill="1" applyBorder="1"/>
    <xf numFmtId="0" fontId="2" fillId="6" borderId="11" xfId="0" applyFont="1" applyFill="1" applyBorder="1"/>
    <xf numFmtId="0" fontId="2" fillId="6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1" fontId="2" fillId="2" borderId="13" xfId="0" applyNumberFormat="1" applyFont="1" applyFill="1" applyBorder="1"/>
    <xf numFmtId="0" fontId="2" fillId="2" borderId="15" xfId="0" applyFont="1" applyFill="1" applyBorder="1"/>
    <xf numFmtId="0" fontId="2" fillId="3" borderId="8" xfId="0" applyFont="1" applyFill="1" applyBorder="1"/>
    <xf numFmtId="0" fontId="2" fillId="3" borderId="2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3" borderId="11" xfId="0" applyFont="1" applyFill="1" applyBorder="1"/>
    <xf numFmtId="0" fontId="2" fillId="3" borderId="12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6" borderId="8" xfId="0" applyFont="1" applyFill="1" applyBorder="1"/>
    <xf numFmtId="0" fontId="2" fillId="5" borderId="8" xfId="0" applyFont="1" applyFill="1" applyBorder="1"/>
    <xf numFmtId="0" fontId="2" fillId="5" borderId="9" xfId="0" applyFont="1" applyFill="1" applyBorder="1"/>
    <xf numFmtId="0" fontId="2" fillId="5" borderId="10" xfId="0" applyFont="1" applyFill="1" applyBorder="1"/>
    <xf numFmtId="0" fontId="2" fillId="5" borderId="11" xfId="0" applyFont="1" applyFill="1" applyBorder="1"/>
    <xf numFmtId="0" fontId="2" fillId="5" borderId="12" xfId="0" applyFont="1" applyFill="1" applyBorder="1"/>
    <xf numFmtId="0" fontId="2" fillId="6" borderId="16" xfId="0" applyFont="1" applyFill="1" applyBorder="1"/>
    <xf numFmtId="0" fontId="2" fillId="6" borderId="17" xfId="0" applyFont="1" applyFill="1" applyBorder="1"/>
    <xf numFmtId="0" fontId="2" fillId="6" borderId="18" xfId="0" applyFont="1" applyFill="1" applyBorder="1"/>
    <xf numFmtId="0" fontId="2" fillId="6" borderId="19" xfId="0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ADAD"/>
      <color rgb="FFB5E6A2"/>
      <color rgb="FFF7C7AC"/>
      <color rgb="FFFFFF00"/>
      <color rgb="FF94DC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81</xdr:row>
          <xdr:rowOff>47625</xdr:rowOff>
        </xdr:from>
        <xdr:to>
          <xdr:col>7</xdr:col>
          <xdr:colOff>457200</xdr:colOff>
          <xdr:row>84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atients" displayName="patients" ref="E82:F101" totalsRowShown="0" headerRowDxfId="3" dataDxfId="2">
  <autoFilter ref="E82:F101"/>
  <tableColumns count="2">
    <tableColumn id="1" name="Patients" dataDxfId="1"/>
    <tableColumn id="2" name="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U101"/>
  <sheetViews>
    <sheetView tabSelected="1" topLeftCell="A58" zoomScale="92" workbookViewId="0">
      <selection activeCell="G91" sqref="G91"/>
    </sheetView>
  </sheetViews>
  <sheetFormatPr defaultColWidth="10.77734375" defaultRowHeight="12" customHeight="1"/>
  <cols>
    <col min="1" max="1" width="10.77734375" style="1"/>
    <col min="2" max="2" width="8" style="1" customWidth="1"/>
    <col min="3" max="4" width="10.77734375" style="1"/>
    <col min="5" max="5" width="11.109375" style="1" bestFit="1" customWidth="1"/>
    <col min="6" max="6" width="11.44140625" style="1" bestFit="1" customWidth="1"/>
    <col min="7" max="7" width="15.6640625" style="1" bestFit="1" customWidth="1"/>
    <col min="8" max="8" width="10.77734375" style="1"/>
    <col min="9" max="9" width="8.44140625" style="1" customWidth="1"/>
    <col min="10" max="10" width="10.77734375" style="1"/>
    <col min="11" max="11" width="11" style="1" bestFit="1" customWidth="1"/>
    <col min="12" max="12" width="11.109375" style="1" bestFit="1" customWidth="1"/>
    <col min="13" max="13" width="12.109375" style="1" bestFit="1" customWidth="1"/>
    <col min="14" max="14" width="15.6640625" style="1" bestFit="1" customWidth="1"/>
    <col min="15" max="15" width="10.77734375" style="1"/>
    <col min="16" max="16" width="9.44140625" style="1" customWidth="1"/>
    <col min="17" max="18" width="10.77734375" style="1"/>
    <col min="19" max="19" width="11.109375" style="1" bestFit="1" customWidth="1"/>
    <col min="20" max="20" width="11.44140625" style="1" bestFit="1" customWidth="1"/>
    <col min="21" max="21" width="15.6640625" style="1" bestFit="1" customWidth="1"/>
    <col min="22" max="16384" width="10.77734375" style="1"/>
  </cols>
  <sheetData>
    <row r="1" spans="2:21" ht="12" customHeight="1">
      <c r="K1"/>
    </row>
    <row r="3" spans="2:21" ht="12" customHeight="1">
      <c r="D3" s="1" t="s">
        <v>24</v>
      </c>
      <c r="K3" s="1" t="s">
        <v>25</v>
      </c>
      <c r="R3" s="1" t="s">
        <v>26</v>
      </c>
      <c r="S3" s="3"/>
    </row>
    <row r="5" spans="2:21" ht="12" customHeight="1">
      <c r="B5" s="14"/>
      <c r="D5" s="1" t="s">
        <v>1</v>
      </c>
      <c r="K5" s="1" t="s">
        <v>5</v>
      </c>
      <c r="R5" s="1" t="s">
        <v>1</v>
      </c>
    </row>
    <row r="6" spans="2:21" ht="12" customHeight="1">
      <c r="B6" s="37">
        <v>855</v>
      </c>
      <c r="C6" s="38"/>
      <c r="D6" s="38" t="s">
        <v>0</v>
      </c>
      <c r="E6" s="38"/>
      <c r="F6" s="38"/>
      <c r="G6" s="40"/>
      <c r="I6" s="37">
        <v>855</v>
      </c>
      <c r="J6" s="38"/>
      <c r="K6" s="38" t="s">
        <v>0</v>
      </c>
      <c r="L6" s="38"/>
      <c r="M6" s="38"/>
      <c r="N6" s="40"/>
      <c r="P6" s="37">
        <v>855</v>
      </c>
      <c r="Q6" s="38"/>
      <c r="R6" s="38" t="s">
        <v>0</v>
      </c>
      <c r="S6" s="38"/>
      <c r="T6" s="38"/>
      <c r="U6" s="40"/>
    </row>
    <row r="7" spans="2:21" ht="12" customHeight="1">
      <c r="B7" s="20">
        <v>900</v>
      </c>
      <c r="C7" s="22"/>
      <c r="D7" s="23" t="s">
        <v>50</v>
      </c>
      <c r="E7" s="23"/>
      <c r="F7" s="23" t="s">
        <v>45</v>
      </c>
      <c r="G7" s="43"/>
      <c r="I7" s="20">
        <v>900</v>
      </c>
      <c r="J7" s="22"/>
      <c r="K7" s="23" t="s">
        <v>50</v>
      </c>
      <c r="L7" s="23"/>
      <c r="M7" s="23" t="s">
        <v>45</v>
      </c>
      <c r="N7" s="43"/>
      <c r="P7" s="20">
        <v>900</v>
      </c>
      <c r="Q7" s="22"/>
      <c r="R7" s="23" t="s">
        <v>50</v>
      </c>
      <c r="S7" s="23"/>
      <c r="T7" s="23" t="s">
        <v>45</v>
      </c>
      <c r="U7" s="43"/>
    </row>
    <row r="8" spans="2:21" ht="12" customHeight="1">
      <c r="B8" s="41">
        <v>905</v>
      </c>
      <c r="C8" s="24"/>
      <c r="D8" s="21"/>
      <c r="E8" s="21"/>
      <c r="F8" s="21"/>
      <c r="G8" s="25"/>
      <c r="I8" s="41">
        <v>905</v>
      </c>
      <c r="J8" s="24"/>
      <c r="K8" s="21"/>
      <c r="L8" s="21"/>
      <c r="M8" s="21"/>
      <c r="N8" s="25"/>
      <c r="P8" s="41">
        <v>905</v>
      </c>
      <c r="Q8" s="24"/>
      <c r="R8" s="21"/>
      <c r="S8" s="21"/>
      <c r="T8" s="21"/>
      <c r="U8" s="25"/>
    </row>
    <row r="9" spans="2:21" ht="12" customHeight="1">
      <c r="B9" s="41">
        <v>910</v>
      </c>
      <c r="C9" s="24"/>
      <c r="D9" s="21"/>
      <c r="E9" s="21"/>
      <c r="F9" s="21"/>
      <c r="G9" s="25"/>
      <c r="I9" s="41">
        <v>910</v>
      </c>
      <c r="J9" s="24"/>
      <c r="K9" s="21"/>
      <c r="L9" s="21"/>
      <c r="M9" s="21"/>
      <c r="N9" s="25"/>
      <c r="P9" s="41">
        <v>910</v>
      </c>
      <c r="Q9" s="44"/>
      <c r="R9" s="45"/>
      <c r="S9" s="45"/>
      <c r="T9" s="45"/>
      <c r="U9" s="46"/>
    </row>
    <row r="10" spans="2:21" ht="12" customHeight="1">
      <c r="B10" s="41">
        <v>915</v>
      </c>
      <c r="C10" s="44"/>
      <c r="D10" s="45"/>
      <c r="E10" s="45"/>
      <c r="F10" s="45"/>
      <c r="G10" s="46"/>
      <c r="I10" s="41">
        <v>915</v>
      </c>
      <c r="J10" s="44"/>
      <c r="K10" s="45"/>
      <c r="L10" s="45"/>
      <c r="M10" s="45"/>
      <c r="N10" s="46"/>
      <c r="P10" s="41">
        <v>915</v>
      </c>
      <c r="Q10" s="22"/>
      <c r="R10" s="23" t="s">
        <v>52</v>
      </c>
      <c r="S10" s="23"/>
      <c r="T10" s="23" t="s">
        <v>45</v>
      </c>
      <c r="U10" s="43"/>
    </row>
    <row r="11" spans="2:21" ht="12" customHeight="1">
      <c r="B11" s="41">
        <v>920</v>
      </c>
      <c r="C11" s="22"/>
      <c r="D11" s="23" t="s">
        <v>52</v>
      </c>
      <c r="E11" s="23"/>
      <c r="F11" s="23" t="s">
        <v>45</v>
      </c>
      <c r="G11" s="43"/>
      <c r="I11" s="41">
        <v>920</v>
      </c>
      <c r="J11" s="22"/>
      <c r="K11" s="23" t="s">
        <v>52</v>
      </c>
      <c r="L11" s="23"/>
      <c r="M11" s="23" t="s">
        <v>45</v>
      </c>
      <c r="N11" s="43"/>
      <c r="P11" s="41">
        <v>920</v>
      </c>
      <c r="Q11" s="24"/>
      <c r="R11" s="21"/>
      <c r="S11" s="21"/>
      <c r="T11" s="21"/>
      <c r="U11" s="25"/>
    </row>
    <row r="12" spans="2:21" ht="12" customHeight="1">
      <c r="B12" s="41">
        <v>925</v>
      </c>
      <c r="C12" s="24"/>
      <c r="D12" s="21"/>
      <c r="E12" s="21"/>
      <c r="F12" s="21"/>
      <c r="G12" s="25"/>
      <c r="I12" s="41">
        <v>925</v>
      </c>
      <c r="J12" s="24"/>
      <c r="K12" s="21"/>
      <c r="L12" s="21"/>
      <c r="M12" s="21"/>
      <c r="N12" s="25"/>
      <c r="P12" s="41">
        <v>925</v>
      </c>
      <c r="Q12" s="44"/>
      <c r="R12" s="45"/>
      <c r="S12" s="45"/>
      <c r="T12" s="45"/>
      <c r="U12" s="46"/>
    </row>
    <row r="13" spans="2:21" ht="12" customHeight="1">
      <c r="B13" s="41">
        <v>930</v>
      </c>
      <c r="C13" s="24"/>
      <c r="D13" s="21"/>
      <c r="E13" s="21"/>
      <c r="F13" s="21"/>
      <c r="G13" s="25"/>
      <c r="I13" s="41">
        <v>930</v>
      </c>
      <c r="J13" s="24"/>
      <c r="K13" s="21"/>
      <c r="L13" s="21"/>
      <c r="M13" s="21"/>
      <c r="N13" s="25"/>
      <c r="P13" s="47">
        <v>930</v>
      </c>
      <c r="Q13" s="26"/>
      <c r="R13" s="27" t="s">
        <v>51</v>
      </c>
      <c r="S13" s="27"/>
      <c r="T13" s="27" t="s">
        <v>46</v>
      </c>
      <c r="U13" s="48"/>
    </row>
    <row r="14" spans="2:21" ht="12" customHeight="1">
      <c r="B14" s="41">
        <v>935</v>
      </c>
      <c r="C14" s="44"/>
      <c r="D14" s="45"/>
      <c r="E14" s="45"/>
      <c r="F14" s="45"/>
      <c r="G14" s="46"/>
      <c r="I14" s="41">
        <v>935</v>
      </c>
      <c r="J14" s="44"/>
      <c r="K14" s="45"/>
      <c r="L14" s="45"/>
      <c r="M14" s="45"/>
      <c r="N14" s="46"/>
      <c r="P14" s="47">
        <v>935</v>
      </c>
      <c r="Q14" s="49"/>
      <c r="R14" s="50"/>
      <c r="S14" s="50"/>
      <c r="T14" s="50"/>
      <c r="U14" s="51"/>
    </row>
    <row r="15" spans="2:21" ht="12" customHeight="1">
      <c r="B15" s="47">
        <v>940</v>
      </c>
      <c r="C15" s="26"/>
      <c r="D15" s="27" t="s">
        <v>51</v>
      </c>
      <c r="E15" s="27"/>
      <c r="F15" s="27" t="s">
        <v>46</v>
      </c>
      <c r="G15" s="48"/>
      <c r="I15" s="47">
        <v>940</v>
      </c>
      <c r="J15" s="26"/>
      <c r="K15" s="27" t="s">
        <v>51</v>
      </c>
      <c r="L15" s="27"/>
      <c r="M15" s="27" t="s">
        <v>46</v>
      </c>
      <c r="N15" s="48"/>
      <c r="P15" s="41">
        <v>940</v>
      </c>
      <c r="Q15" s="22"/>
      <c r="R15" s="23" t="s">
        <v>53</v>
      </c>
      <c r="S15" s="23"/>
      <c r="T15" s="23" t="s">
        <v>45</v>
      </c>
      <c r="U15" s="43"/>
    </row>
    <row r="16" spans="2:21" ht="12" customHeight="1">
      <c r="B16" s="47">
        <v>945</v>
      </c>
      <c r="C16" s="49"/>
      <c r="D16" s="50"/>
      <c r="E16" s="50"/>
      <c r="F16" s="50"/>
      <c r="G16" s="51"/>
      <c r="I16" s="47">
        <v>945</v>
      </c>
      <c r="J16" s="49"/>
      <c r="K16" s="50"/>
      <c r="L16" s="50"/>
      <c r="M16" s="50"/>
      <c r="N16" s="51"/>
      <c r="P16" s="41">
        <v>945</v>
      </c>
      <c r="Q16" s="24"/>
      <c r="R16" s="21"/>
      <c r="S16" s="21"/>
      <c r="T16" s="21"/>
      <c r="U16" s="25"/>
    </row>
    <row r="17" spans="2:21" ht="12" customHeight="1">
      <c r="B17" s="41">
        <v>950</v>
      </c>
      <c r="C17" s="22"/>
      <c r="D17" s="23" t="s">
        <v>53</v>
      </c>
      <c r="E17" s="23"/>
      <c r="F17" s="23" t="s">
        <v>45</v>
      </c>
      <c r="G17" s="43"/>
      <c r="I17" s="41">
        <v>950</v>
      </c>
      <c r="J17" s="22"/>
      <c r="K17" s="23" t="s">
        <v>53</v>
      </c>
      <c r="L17" s="23"/>
      <c r="M17" s="23" t="s">
        <v>45</v>
      </c>
      <c r="N17" s="43"/>
      <c r="P17" s="41">
        <v>950</v>
      </c>
      <c r="Q17" s="44"/>
      <c r="R17" s="45"/>
      <c r="S17" s="45"/>
      <c r="T17" s="45"/>
      <c r="U17" s="46"/>
    </row>
    <row r="18" spans="2:21" ht="12" customHeight="1">
      <c r="B18" s="41">
        <v>955</v>
      </c>
      <c r="C18" s="24"/>
      <c r="D18" s="21"/>
      <c r="E18" s="21"/>
      <c r="F18" s="21"/>
      <c r="G18" s="25"/>
      <c r="I18" s="41">
        <v>955</v>
      </c>
      <c r="J18" s="24"/>
      <c r="K18" s="21"/>
      <c r="L18" s="21"/>
      <c r="M18" s="21"/>
      <c r="N18" s="25"/>
      <c r="P18" s="41">
        <v>955</v>
      </c>
      <c r="Q18" s="22"/>
      <c r="R18" s="23" t="s">
        <v>54</v>
      </c>
      <c r="S18" s="23"/>
      <c r="T18" s="23" t="s">
        <v>45</v>
      </c>
      <c r="U18" s="43"/>
    </row>
    <row r="19" spans="2:21" ht="12" customHeight="1">
      <c r="B19" s="41">
        <v>1000</v>
      </c>
      <c r="C19" s="24"/>
      <c r="D19" s="21"/>
      <c r="E19" s="21"/>
      <c r="F19" s="21"/>
      <c r="G19" s="25"/>
      <c r="I19" s="41">
        <v>1000</v>
      </c>
      <c r="J19" s="24"/>
      <c r="K19" s="21"/>
      <c r="L19" s="21"/>
      <c r="M19" s="21"/>
      <c r="N19" s="25"/>
      <c r="P19" s="41">
        <v>1000</v>
      </c>
      <c r="Q19" s="24"/>
      <c r="R19" s="21"/>
      <c r="S19" s="21"/>
      <c r="T19" s="21"/>
      <c r="U19" s="25"/>
    </row>
    <row r="20" spans="2:21" ht="12" customHeight="1">
      <c r="B20" s="41">
        <v>1005</v>
      </c>
      <c r="C20" s="44"/>
      <c r="D20" s="45"/>
      <c r="E20" s="45"/>
      <c r="F20" s="45"/>
      <c r="G20" s="46"/>
      <c r="I20" s="41">
        <v>1005</v>
      </c>
      <c r="J20" s="44"/>
      <c r="K20" s="45"/>
      <c r="L20" s="45"/>
      <c r="M20" s="45"/>
      <c r="N20" s="46"/>
      <c r="P20" s="41">
        <v>1005</v>
      </c>
      <c r="Q20" s="44"/>
      <c r="R20" s="45"/>
      <c r="S20" s="45"/>
      <c r="T20" s="45"/>
      <c r="U20" s="46"/>
    </row>
    <row r="21" spans="2:21" ht="12" customHeight="1">
      <c r="B21" s="41">
        <v>1010</v>
      </c>
      <c r="C21" s="22"/>
      <c r="D21" s="23" t="s">
        <v>54</v>
      </c>
      <c r="E21" s="23"/>
      <c r="F21" s="23" t="s">
        <v>45</v>
      </c>
      <c r="G21" s="43"/>
      <c r="I21" s="41">
        <v>1010</v>
      </c>
      <c r="J21" s="22"/>
      <c r="K21" s="23" t="s">
        <v>54</v>
      </c>
      <c r="L21" s="23"/>
      <c r="M21" s="23" t="s">
        <v>45</v>
      </c>
      <c r="N21" s="43"/>
      <c r="P21" s="52">
        <v>1010</v>
      </c>
      <c r="Q21" s="31"/>
      <c r="R21" s="32" t="s">
        <v>55</v>
      </c>
      <c r="S21" s="32"/>
      <c r="T21" s="32" t="s">
        <v>49</v>
      </c>
      <c r="U21" s="33"/>
    </row>
    <row r="22" spans="2:21" ht="12" customHeight="1">
      <c r="B22" s="41">
        <v>1015</v>
      </c>
      <c r="C22" s="24"/>
      <c r="D22" s="21"/>
      <c r="E22" s="21"/>
      <c r="F22" s="21"/>
      <c r="G22" s="25"/>
      <c r="I22" s="41">
        <v>1015</v>
      </c>
      <c r="J22" s="24"/>
      <c r="K22" s="21"/>
      <c r="L22" s="21"/>
      <c r="M22" s="21"/>
      <c r="N22" s="25"/>
      <c r="P22" s="52">
        <v>1015</v>
      </c>
      <c r="Q22" s="34"/>
      <c r="R22" s="35"/>
      <c r="S22" s="35"/>
      <c r="T22" s="35"/>
      <c r="U22" s="36"/>
    </row>
    <row r="23" spans="2:21" ht="12" customHeight="1">
      <c r="B23" s="41">
        <v>1020</v>
      </c>
      <c r="C23" s="24"/>
      <c r="D23" s="21"/>
      <c r="E23" s="21"/>
      <c r="F23" s="21"/>
      <c r="G23" s="25"/>
      <c r="I23" s="41">
        <v>1020</v>
      </c>
      <c r="J23" s="24"/>
      <c r="K23" s="21"/>
      <c r="L23" s="21"/>
      <c r="M23" s="21"/>
      <c r="N23" s="25"/>
      <c r="P23" s="52">
        <v>1020</v>
      </c>
      <c r="Q23" s="31"/>
      <c r="R23" s="32" t="s">
        <v>56</v>
      </c>
      <c r="S23" s="32"/>
      <c r="T23" s="32" t="s">
        <v>49</v>
      </c>
      <c r="U23" s="33"/>
    </row>
    <row r="24" spans="2:21" ht="12" customHeight="1">
      <c r="B24" s="41">
        <v>1025</v>
      </c>
      <c r="C24" s="44"/>
      <c r="D24" s="45"/>
      <c r="E24" s="45"/>
      <c r="F24" s="45"/>
      <c r="G24" s="46"/>
      <c r="I24" s="41">
        <v>1025</v>
      </c>
      <c r="J24" s="44"/>
      <c r="K24" s="45"/>
      <c r="L24" s="45"/>
      <c r="M24" s="45"/>
      <c r="N24" s="46"/>
      <c r="P24" s="52">
        <v>1025</v>
      </c>
      <c r="Q24" s="34"/>
      <c r="R24" s="35"/>
      <c r="S24" s="35"/>
      <c r="T24" s="35"/>
      <c r="U24" s="36"/>
    </row>
    <row r="25" spans="2:21" ht="12" customHeight="1">
      <c r="B25" s="52">
        <v>1030</v>
      </c>
      <c r="C25" s="31"/>
      <c r="D25" s="32" t="s">
        <v>55</v>
      </c>
      <c r="E25" s="32"/>
      <c r="F25" s="32" t="s">
        <v>49</v>
      </c>
      <c r="G25" s="33"/>
      <c r="I25" s="52">
        <v>1030</v>
      </c>
      <c r="J25" s="31"/>
      <c r="K25" s="32" t="s">
        <v>55</v>
      </c>
      <c r="L25" s="32"/>
      <c r="M25" s="32" t="s">
        <v>49</v>
      </c>
      <c r="N25" s="33"/>
      <c r="P25" s="41">
        <v>1030</v>
      </c>
      <c r="Q25" s="22"/>
      <c r="R25" s="23" t="s">
        <v>57</v>
      </c>
      <c r="S25" s="23"/>
      <c r="T25" s="23" t="s">
        <v>45</v>
      </c>
      <c r="U25" s="43"/>
    </row>
    <row r="26" spans="2:21" ht="12" customHeight="1">
      <c r="B26" s="52">
        <v>1035</v>
      </c>
      <c r="C26" s="34"/>
      <c r="D26" s="35"/>
      <c r="E26" s="35"/>
      <c r="F26" s="35"/>
      <c r="G26" s="36"/>
      <c r="I26" s="52">
        <v>1035</v>
      </c>
      <c r="J26" s="34"/>
      <c r="K26" s="35"/>
      <c r="L26" s="35"/>
      <c r="M26" s="35"/>
      <c r="N26" s="36"/>
      <c r="P26" s="41">
        <v>1035</v>
      </c>
      <c r="Q26" s="24"/>
      <c r="R26" s="21"/>
      <c r="S26" s="21"/>
      <c r="T26" s="21"/>
      <c r="U26" s="25"/>
    </row>
    <row r="27" spans="2:21" ht="12" customHeight="1">
      <c r="B27" s="52">
        <v>1040</v>
      </c>
      <c r="C27" s="31"/>
      <c r="D27" s="32" t="s">
        <v>56</v>
      </c>
      <c r="E27" s="32"/>
      <c r="F27" s="32" t="s">
        <v>49</v>
      </c>
      <c r="G27" s="33"/>
      <c r="I27" s="52">
        <v>1040</v>
      </c>
      <c r="J27" s="31"/>
      <c r="K27" s="32" t="s">
        <v>56</v>
      </c>
      <c r="L27" s="32"/>
      <c r="M27" s="32" t="s">
        <v>49</v>
      </c>
      <c r="N27" s="33"/>
      <c r="P27" s="41">
        <v>1040</v>
      </c>
      <c r="Q27" s="44"/>
      <c r="R27" s="45"/>
      <c r="S27" s="45"/>
      <c r="T27" s="45"/>
      <c r="U27" s="46"/>
    </row>
    <row r="28" spans="2:21" ht="12" customHeight="1">
      <c r="B28" s="52">
        <v>1045</v>
      </c>
      <c r="C28" s="34"/>
      <c r="D28" s="35"/>
      <c r="E28" s="35"/>
      <c r="F28" s="35"/>
      <c r="G28" s="36"/>
      <c r="I28" s="52">
        <v>1045</v>
      </c>
      <c r="J28" s="34"/>
      <c r="K28" s="35"/>
      <c r="L28" s="35"/>
      <c r="M28" s="35"/>
      <c r="N28" s="36"/>
      <c r="P28" s="41">
        <v>1045</v>
      </c>
      <c r="Q28" s="22"/>
      <c r="R28" s="23" t="s">
        <v>58</v>
      </c>
      <c r="S28" s="23"/>
      <c r="T28" s="23" t="s">
        <v>45</v>
      </c>
      <c r="U28" s="43"/>
    </row>
    <row r="29" spans="2:21" ht="12" customHeight="1">
      <c r="B29" s="52">
        <v>1050</v>
      </c>
      <c r="C29" s="31"/>
      <c r="D29" s="32" t="s">
        <v>38</v>
      </c>
      <c r="E29" s="32"/>
      <c r="F29" s="32" t="s">
        <v>49</v>
      </c>
      <c r="G29" s="33"/>
      <c r="I29" s="52">
        <v>1050</v>
      </c>
      <c r="J29" s="31"/>
      <c r="K29" s="32" t="s">
        <v>38</v>
      </c>
      <c r="L29" s="32"/>
      <c r="M29" s="32" t="s">
        <v>49</v>
      </c>
      <c r="N29" s="33"/>
      <c r="P29" s="41">
        <v>1050</v>
      </c>
      <c r="Q29" s="24"/>
      <c r="R29" s="21"/>
      <c r="S29" s="21"/>
      <c r="T29" s="21"/>
      <c r="U29" s="25"/>
    </row>
    <row r="30" spans="2:21" ht="12" customHeight="1">
      <c r="B30" s="52">
        <v>1055</v>
      </c>
      <c r="C30" s="34"/>
      <c r="D30" s="35"/>
      <c r="E30" s="35"/>
      <c r="F30" s="35"/>
      <c r="G30" s="36"/>
      <c r="I30" s="52">
        <v>1055</v>
      </c>
      <c r="J30" s="34"/>
      <c r="K30" s="35"/>
      <c r="L30" s="35"/>
      <c r="M30" s="35"/>
      <c r="N30" s="36"/>
      <c r="P30" s="41">
        <v>1055</v>
      </c>
      <c r="Q30" s="44"/>
      <c r="R30" s="45"/>
      <c r="S30" s="45"/>
      <c r="T30" s="45"/>
      <c r="U30" s="46"/>
    </row>
    <row r="31" spans="2:21" ht="12" customHeight="1">
      <c r="B31" s="53">
        <v>1100</v>
      </c>
      <c r="C31" s="28"/>
      <c r="D31" s="29" t="s">
        <v>47</v>
      </c>
      <c r="E31" s="29"/>
      <c r="F31" s="29" t="s">
        <v>48</v>
      </c>
      <c r="G31" s="54"/>
      <c r="I31" s="52">
        <v>1100</v>
      </c>
      <c r="J31" s="31"/>
      <c r="K31" s="32" t="s">
        <v>42</v>
      </c>
      <c r="L31" s="32"/>
      <c r="M31" s="32" t="s">
        <v>49</v>
      </c>
      <c r="N31" s="58"/>
      <c r="P31" s="52">
        <v>1100</v>
      </c>
      <c r="Q31" s="31"/>
      <c r="R31" s="32" t="s">
        <v>43</v>
      </c>
      <c r="S31" s="32"/>
      <c r="T31" s="32" t="s">
        <v>49</v>
      </c>
      <c r="U31" s="58"/>
    </row>
    <row r="32" spans="2:21" ht="12" customHeight="1">
      <c r="B32" s="53">
        <v>1105</v>
      </c>
      <c r="C32" s="55"/>
      <c r="D32" s="56"/>
      <c r="E32" s="56"/>
      <c r="F32" s="56"/>
      <c r="G32" s="57"/>
      <c r="I32" s="52">
        <v>1105</v>
      </c>
      <c r="J32" s="59"/>
      <c r="K32" s="60"/>
      <c r="L32" s="60"/>
      <c r="M32" s="60"/>
      <c r="N32" s="61"/>
      <c r="P32" s="52">
        <v>1105</v>
      </c>
      <c r="Q32" s="59"/>
      <c r="R32" s="60"/>
      <c r="S32" s="60"/>
      <c r="T32" s="60"/>
      <c r="U32" s="61"/>
    </row>
    <row r="33" spans="2:21" ht="12" customHeight="1">
      <c r="B33" s="41">
        <v>1110</v>
      </c>
      <c r="C33" s="22"/>
      <c r="D33" s="23" t="s">
        <v>57</v>
      </c>
      <c r="E33" s="23"/>
      <c r="F33" s="23" t="s">
        <v>45</v>
      </c>
      <c r="G33" s="43"/>
      <c r="I33" s="41">
        <v>1110</v>
      </c>
      <c r="J33" s="22"/>
      <c r="K33" s="23" t="s">
        <v>57</v>
      </c>
      <c r="L33" s="23"/>
      <c r="M33" s="23" t="s">
        <v>45</v>
      </c>
      <c r="N33" s="43"/>
      <c r="P33" s="41">
        <v>1110</v>
      </c>
      <c r="Q33" s="22"/>
      <c r="R33" s="23" t="s">
        <v>59</v>
      </c>
      <c r="S33" s="23"/>
      <c r="T33" s="23" t="s">
        <v>45</v>
      </c>
      <c r="U33" s="43"/>
    </row>
    <row r="34" spans="2:21" ht="12" customHeight="1">
      <c r="B34" s="41">
        <v>1115</v>
      </c>
      <c r="C34" s="24"/>
      <c r="D34" s="21"/>
      <c r="E34" s="21"/>
      <c r="F34" s="21"/>
      <c r="G34" s="25"/>
      <c r="I34" s="41">
        <v>1115</v>
      </c>
      <c r="J34" s="24"/>
      <c r="K34" s="21"/>
      <c r="L34" s="21"/>
      <c r="M34" s="21"/>
      <c r="N34" s="25"/>
      <c r="P34" s="41">
        <v>1115</v>
      </c>
      <c r="Q34" s="24"/>
      <c r="R34" s="21"/>
      <c r="S34" s="21"/>
      <c r="T34" s="21"/>
      <c r="U34" s="25"/>
    </row>
    <row r="35" spans="2:21" ht="12" customHeight="1">
      <c r="B35" s="41">
        <v>1120</v>
      </c>
      <c r="C35" s="24"/>
      <c r="D35" s="21"/>
      <c r="E35" s="21"/>
      <c r="F35" s="21"/>
      <c r="G35" s="25"/>
      <c r="I35" s="41">
        <v>1120</v>
      </c>
      <c r="J35" s="24"/>
      <c r="K35" s="21"/>
      <c r="L35" s="21"/>
      <c r="M35" s="21"/>
      <c r="N35" s="25"/>
      <c r="P35" s="41">
        <v>1120</v>
      </c>
      <c r="Q35" s="44"/>
      <c r="R35" s="45"/>
      <c r="S35" s="45"/>
      <c r="T35" s="45"/>
      <c r="U35" s="46"/>
    </row>
    <row r="36" spans="2:21" ht="12" customHeight="1">
      <c r="B36" s="41">
        <v>1125</v>
      </c>
      <c r="C36" s="44"/>
      <c r="D36" s="45"/>
      <c r="E36" s="45"/>
      <c r="F36" s="45"/>
      <c r="G36" s="46"/>
      <c r="I36" s="41">
        <v>1125</v>
      </c>
      <c r="J36" s="44"/>
      <c r="K36" s="45"/>
      <c r="L36" s="45"/>
      <c r="M36" s="45"/>
      <c r="N36" s="46"/>
      <c r="P36" s="41">
        <v>1125</v>
      </c>
      <c r="Q36" s="22"/>
      <c r="R36" s="23" t="s">
        <v>60</v>
      </c>
      <c r="S36" s="23"/>
      <c r="T36" s="23" t="s">
        <v>45</v>
      </c>
      <c r="U36" s="43"/>
    </row>
    <row r="37" spans="2:21" ht="12" customHeight="1">
      <c r="B37" s="41">
        <v>1130</v>
      </c>
      <c r="C37" s="22"/>
      <c r="D37" s="23" t="s">
        <v>58</v>
      </c>
      <c r="E37" s="23"/>
      <c r="F37" s="23" t="s">
        <v>45</v>
      </c>
      <c r="G37" s="43"/>
      <c r="I37" s="41">
        <v>1130</v>
      </c>
      <c r="J37" s="22"/>
      <c r="K37" s="23" t="s">
        <v>58</v>
      </c>
      <c r="L37" s="23"/>
      <c r="M37" s="23" t="s">
        <v>45</v>
      </c>
      <c r="N37" s="43"/>
      <c r="P37" s="41">
        <v>1130</v>
      </c>
      <c r="Q37" s="24"/>
      <c r="R37" s="21"/>
      <c r="S37" s="21"/>
      <c r="T37" s="21"/>
      <c r="U37" s="25"/>
    </row>
    <row r="38" spans="2:21" ht="12" customHeight="1">
      <c r="B38" s="41">
        <v>1135</v>
      </c>
      <c r="C38" s="24"/>
      <c r="D38" s="21"/>
      <c r="E38" s="21"/>
      <c r="F38" s="21"/>
      <c r="G38" s="25"/>
      <c r="I38" s="41">
        <v>1135</v>
      </c>
      <c r="J38" s="24"/>
      <c r="K38" s="21"/>
      <c r="L38" s="21"/>
      <c r="M38" s="21"/>
      <c r="N38" s="25"/>
      <c r="P38" s="41">
        <v>1135</v>
      </c>
      <c r="Q38" s="44"/>
      <c r="R38" s="45"/>
      <c r="S38" s="45"/>
      <c r="T38" s="45"/>
      <c r="U38" s="46"/>
    </row>
    <row r="39" spans="2:21" ht="12" customHeight="1">
      <c r="B39" s="41">
        <v>1140</v>
      </c>
      <c r="C39" s="24"/>
      <c r="D39" s="21"/>
      <c r="E39" s="21"/>
      <c r="F39" s="21"/>
      <c r="G39" s="25"/>
      <c r="I39" s="41">
        <v>1140</v>
      </c>
      <c r="J39" s="24"/>
      <c r="K39" s="21"/>
      <c r="L39" s="21"/>
      <c r="M39" s="21"/>
      <c r="N39" s="25"/>
      <c r="P39" s="41">
        <v>1140</v>
      </c>
      <c r="Q39" s="22"/>
      <c r="R39" s="23" t="s">
        <v>35</v>
      </c>
      <c r="S39" s="23"/>
      <c r="T39" s="23" t="s">
        <v>45</v>
      </c>
      <c r="U39" s="43"/>
    </row>
    <row r="40" spans="2:21" ht="12" customHeight="1">
      <c r="B40" s="41">
        <v>1145</v>
      </c>
      <c r="C40" s="44"/>
      <c r="D40" s="45"/>
      <c r="E40" s="45"/>
      <c r="F40" s="45"/>
      <c r="G40" s="46"/>
      <c r="I40" s="41">
        <v>1145</v>
      </c>
      <c r="J40" s="44"/>
      <c r="K40" s="45"/>
      <c r="L40" s="45"/>
      <c r="M40" s="45"/>
      <c r="N40" s="46"/>
      <c r="P40" s="41">
        <v>1145</v>
      </c>
      <c r="Q40" s="24"/>
      <c r="R40" s="21"/>
      <c r="S40" s="21"/>
      <c r="T40" s="21"/>
      <c r="U40" s="25"/>
    </row>
    <row r="41" spans="2:21" ht="12" customHeight="1">
      <c r="B41" s="41">
        <v>1150</v>
      </c>
      <c r="C41" s="22"/>
      <c r="D41" s="23" t="s">
        <v>59</v>
      </c>
      <c r="E41" s="23"/>
      <c r="F41" s="23" t="s">
        <v>45</v>
      </c>
      <c r="G41" s="43"/>
      <c r="I41" s="41">
        <v>1150</v>
      </c>
      <c r="J41" s="22"/>
      <c r="K41" s="23" t="s">
        <v>59</v>
      </c>
      <c r="L41" s="23"/>
      <c r="M41" s="23" t="s">
        <v>45</v>
      </c>
      <c r="N41" s="43"/>
      <c r="P41" s="41">
        <v>1150</v>
      </c>
      <c r="Q41" s="44"/>
      <c r="R41" s="45"/>
      <c r="S41" s="45"/>
      <c r="T41" s="45"/>
      <c r="U41" s="46"/>
    </row>
    <row r="42" spans="2:21" ht="12" customHeight="1">
      <c r="B42" s="41">
        <v>1155</v>
      </c>
      <c r="C42" s="24"/>
      <c r="D42" s="21"/>
      <c r="E42" s="21"/>
      <c r="F42" s="21"/>
      <c r="G42" s="25"/>
      <c r="I42" s="41">
        <v>1155</v>
      </c>
      <c r="J42" s="24"/>
      <c r="K42" s="21"/>
      <c r="L42" s="21"/>
      <c r="M42" s="21"/>
      <c r="N42" s="25"/>
      <c r="P42" s="52">
        <v>1155</v>
      </c>
      <c r="Q42" s="31"/>
      <c r="R42" s="32" t="s">
        <v>38</v>
      </c>
      <c r="S42" s="32"/>
      <c r="T42" s="32" t="s">
        <v>49</v>
      </c>
      <c r="U42" s="33"/>
    </row>
    <row r="43" spans="2:21" ht="12" customHeight="1">
      <c r="B43" s="41">
        <v>1200</v>
      </c>
      <c r="C43" s="24"/>
      <c r="D43" s="21"/>
      <c r="E43" s="21"/>
      <c r="F43" s="21"/>
      <c r="G43" s="25"/>
      <c r="I43" s="41">
        <v>1200</v>
      </c>
      <c r="J43" s="24"/>
      <c r="K43" s="21"/>
      <c r="L43" s="21"/>
      <c r="M43" s="21"/>
      <c r="N43" s="25"/>
      <c r="P43" s="52">
        <v>1200</v>
      </c>
      <c r="Q43" s="34"/>
      <c r="R43" s="35"/>
      <c r="S43" s="35"/>
      <c r="T43" s="35"/>
      <c r="U43" s="36"/>
    </row>
    <row r="44" spans="2:21" ht="12" customHeight="1">
      <c r="B44" s="41">
        <v>1205</v>
      </c>
      <c r="C44" s="44"/>
      <c r="D44" s="45"/>
      <c r="E44" s="45"/>
      <c r="F44" s="45"/>
      <c r="G44" s="46"/>
      <c r="I44" s="41">
        <v>1205</v>
      </c>
      <c r="J44" s="44"/>
      <c r="K44" s="45"/>
      <c r="L44" s="45"/>
      <c r="M44" s="45"/>
      <c r="N44" s="46"/>
      <c r="P44" s="41">
        <v>1205</v>
      </c>
      <c r="Q44" s="22"/>
      <c r="R44" s="23" t="s">
        <v>39</v>
      </c>
      <c r="S44" s="23"/>
      <c r="T44" s="23" t="s">
        <v>45</v>
      </c>
      <c r="U44" s="43"/>
    </row>
    <row r="45" spans="2:21" ht="12" customHeight="1">
      <c r="B45" s="41">
        <v>1210</v>
      </c>
      <c r="C45" s="22"/>
      <c r="D45" s="23" t="s">
        <v>60</v>
      </c>
      <c r="E45" s="23"/>
      <c r="F45" s="23" t="s">
        <v>45</v>
      </c>
      <c r="G45" s="43"/>
      <c r="I45" s="41">
        <v>1210</v>
      </c>
      <c r="J45" s="22"/>
      <c r="K45" s="23" t="s">
        <v>60</v>
      </c>
      <c r="L45" s="23"/>
      <c r="M45" s="23" t="s">
        <v>45</v>
      </c>
      <c r="N45" s="43"/>
      <c r="P45" s="41">
        <v>1210</v>
      </c>
      <c r="Q45" s="24"/>
      <c r="R45" s="21"/>
      <c r="S45" s="21"/>
      <c r="T45" s="21"/>
      <c r="U45" s="25"/>
    </row>
    <row r="46" spans="2:21" ht="12" customHeight="1">
      <c r="B46" s="41">
        <v>1215</v>
      </c>
      <c r="C46" s="24"/>
      <c r="D46" s="21"/>
      <c r="E46" s="21"/>
      <c r="F46" s="21"/>
      <c r="G46" s="25"/>
      <c r="I46" s="41">
        <v>1215</v>
      </c>
      <c r="J46" s="24"/>
      <c r="K46" s="21"/>
      <c r="L46" s="21"/>
      <c r="M46" s="21"/>
      <c r="N46" s="25"/>
      <c r="P46" s="41">
        <v>1215</v>
      </c>
      <c r="Q46" s="44"/>
      <c r="R46" s="45"/>
      <c r="S46" s="45"/>
      <c r="T46" s="45"/>
      <c r="U46" s="46"/>
    </row>
    <row r="47" spans="2:21" ht="12" customHeight="1">
      <c r="B47" s="41">
        <v>1220</v>
      </c>
      <c r="C47" s="24"/>
      <c r="D47" s="21"/>
      <c r="E47" s="21"/>
      <c r="F47" s="21"/>
      <c r="G47" s="25"/>
      <c r="I47" s="41">
        <v>1220</v>
      </c>
      <c r="J47" s="24"/>
      <c r="K47" s="21"/>
      <c r="L47" s="21"/>
      <c r="M47" s="21"/>
      <c r="N47" s="25"/>
      <c r="P47" s="52">
        <v>1220</v>
      </c>
      <c r="Q47" s="31"/>
      <c r="R47" s="32" t="s">
        <v>42</v>
      </c>
      <c r="S47" s="32"/>
      <c r="T47" s="32" t="s">
        <v>49</v>
      </c>
      <c r="U47" s="33"/>
    </row>
    <row r="48" spans="2:21" ht="12" customHeight="1">
      <c r="B48" s="42">
        <v>1225</v>
      </c>
      <c r="C48" s="44"/>
      <c r="D48" s="45"/>
      <c r="E48" s="45"/>
      <c r="F48" s="45"/>
      <c r="G48" s="46"/>
      <c r="I48" s="42">
        <v>1225</v>
      </c>
      <c r="J48" s="44"/>
      <c r="K48" s="45"/>
      <c r="L48" s="45"/>
      <c r="M48" s="45"/>
      <c r="N48" s="46"/>
      <c r="P48" s="30">
        <v>1225</v>
      </c>
      <c r="Q48" s="34"/>
      <c r="R48" s="35"/>
      <c r="S48" s="35"/>
      <c r="T48" s="35"/>
      <c r="U48" s="36"/>
    </row>
    <row r="49" spans="2:21" ht="12" customHeight="1">
      <c r="B49" s="39">
        <v>1230</v>
      </c>
      <c r="C49" s="38"/>
      <c r="D49" s="38" t="s">
        <v>0</v>
      </c>
      <c r="E49" s="38"/>
      <c r="F49" s="38"/>
      <c r="G49" s="40"/>
      <c r="H49" s="12"/>
      <c r="I49" s="37">
        <v>1230</v>
      </c>
      <c r="J49" s="38"/>
      <c r="K49" s="38" t="s">
        <v>0</v>
      </c>
      <c r="L49" s="38"/>
      <c r="M49" s="38"/>
      <c r="N49" s="40"/>
      <c r="P49" s="37">
        <v>1230</v>
      </c>
      <c r="Q49" s="38"/>
      <c r="R49" s="38" t="s">
        <v>0</v>
      </c>
      <c r="S49" s="38"/>
      <c r="T49" s="38"/>
      <c r="U49" s="40"/>
    </row>
    <row r="50" spans="2:21" ht="12" customHeight="1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4"/>
      <c r="P50" s="12"/>
      <c r="Q50" s="12"/>
      <c r="R50" s="12"/>
      <c r="S50" s="12"/>
      <c r="T50" s="12"/>
      <c r="U50" s="12"/>
    </row>
    <row r="51" spans="2:21" ht="12" customHeight="1"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4"/>
      <c r="P51" s="12"/>
      <c r="Q51" s="12"/>
      <c r="R51" s="12"/>
      <c r="S51" s="12"/>
      <c r="T51" s="12"/>
      <c r="U51" s="12"/>
    </row>
    <row r="52" spans="2:21" ht="12" customHeight="1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4"/>
      <c r="P52" s="12"/>
      <c r="Q52" s="12"/>
      <c r="R52" s="12"/>
      <c r="S52" s="12"/>
      <c r="T52" s="12"/>
      <c r="U52" s="12"/>
    </row>
    <row r="53" spans="2:21" ht="12" customHeight="1"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4"/>
      <c r="P53" s="12"/>
      <c r="Q53" s="12"/>
      <c r="R53" s="12"/>
      <c r="S53" s="12"/>
      <c r="T53" s="12"/>
      <c r="U53" s="12"/>
    </row>
    <row r="54" spans="2:21" ht="12" customHeight="1"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4"/>
      <c r="P54" s="12"/>
      <c r="Q54" s="12"/>
      <c r="R54" s="12"/>
      <c r="S54" s="12"/>
      <c r="T54" s="12"/>
      <c r="U54" s="12"/>
    </row>
    <row r="55" spans="2:21" ht="12" customHeight="1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4"/>
      <c r="P55" s="12"/>
      <c r="Q55" s="12"/>
      <c r="R55" s="12"/>
      <c r="S55" s="12"/>
      <c r="T55" s="12"/>
      <c r="U55" s="12"/>
    </row>
    <row r="56" spans="2:21" ht="12" customHeight="1"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4"/>
      <c r="P56" s="12"/>
      <c r="Q56" s="12"/>
      <c r="R56" s="12"/>
      <c r="S56" s="12"/>
      <c r="T56" s="12"/>
      <c r="U56" s="12"/>
    </row>
    <row r="57" spans="2:21" ht="14.1" customHeight="1">
      <c r="B57" s="13"/>
      <c r="C57" s="13"/>
      <c r="D57" s="13"/>
      <c r="E57" s="13" t="s">
        <v>6</v>
      </c>
      <c r="F57" s="13" t="s">
        <v>7</v>
      </c>
      <c r="G57" s="15" t="s">
        <v>8</v>
      </c>
      <c r="H57" s="11"/>
      <c r="I57" s="13"/>
      <c r="J57" s="13"/>
      <c r="K57" s="13"/>
      <c r="L57" s="13" t="s">
        <v>6</v>
      </c>
      <c r="M57" s="13" t="s">
        <v>7</v>
      </c>
      <c r="N57" s="15" t="s">
        <v>8</v>
      </c>
      <c r="P57" s="13"/>
      <c r="Q57" s="13"/>
      <c r="R57" s="13"/>
      <c r="S57" s="13" t="s">
        <v>6</v>
      </c>
      <c r="T57" s="13" t="s">
        <v>7</v>
      </c>
      <c r="U57" s="15" t="s">
        <v>8</v>
      </c>
    </row>
    <row r="58" spans="2:21" ht="14.1" customHeight="1">
      <c r="B58" s="13"/>
      <c r="C58" s="13"/>
      <c r="D58" s="13"/>
      <c r="E58" s="13"/>
      <c r="F58" s="13"/>
      <c r="G58" s="15"/>
      <c r="H58" s="11"/>
      <c r="I58" s="13"/>
      <c r="J58" s="13"/>
      <c r="K58" s="13"/>
      <c r="L58" s="13"/>
      <c r="M58" s="13"/>
      <c r="N58" s="15"/>
      <c r="P58" s="13"/>
      <c r="Q58" s="13"/>
      <c r="R58" s="13"/>
      <c r="S58" s="13"/>
      <c r="T58" s="13"/>
      <c r="U58" s="13"/>
    </row>
    <row r="59" spans="2:21" ht="14.1" customHeight="1">
      <c r="B59" s="15"/>
      <c r="C59" s="13"/>
      <c r="D59" s="13" t="s">
        <v>4</v>
      </c>
      <c r="E59" s="13">
        <f ca="1">COUNTIF(OFFSET(M1_top,0,4):OFFSET(M1_bot,0,4),"New")</f>
        <v>8</v>
      </c>
      <c r="F59" s="16">
        <f>fee_new</f>
        <v>450</v>
      </c>
      <c r="G59" s="17">
        <f ca="1">F59*E59</f>
        <v>3600</v>
      </c>
      <c r="H59" s="11"/>
      <c r="I59" s="15" t="s">
        <v>7</v>
      </c>
      <c r="J59" s="13"/>
      <c r="K59" s="13" t="s">
        <v>4</v>
      </c>
      <c r="L59" s="13">
        <f ca="1">COUNTIF(OFFSET(M2_top,0,4):OFFSET(M2_bot,0,4),"New")</f>
        <v>8</v>
      </c>
      <c r="M59" s="16">
        <f>fee_new</f>
        <v>450</v>
      </c>
      <c r="N59" s="17">
        <f ca="1">M59*L59</f>
        <v>3600</v>
      </c>
      <c r="P59" s="13"/>
      <c r="Q59" s="13"/>
      <c r="R59" s="13" t="s">
        <v>4</v>
      </c>
      <c r="S59" s="13">
        <f ca="1">COUNTIF(OFFSET(M3_top,0,4):OFFSET(M3_bot,0,4),"New")</f>
        <v>10</v>
      </c>
      <c r="T59" s="16">
        <v>450</v>
      </c>
      <c r="U59" s="16">
        <f ca="1">T59*S59</f>
        <v>4500</v>
      </c>
    </row>
    <row r="60" spans="2:21" ht="14.1" customHeight="1">
      <c r="B60" s="13"/>
      <c r="C60" s="13"/>
      <c r="D60" s="13" t="s">
        <v>3</v>
      </c>
      <c r="E60" s="13">
        <f ca="1">COUNTIF(OFFSET(M1_top,0,4):OFFSET(M1_bot,0,4),"Review") + COUNTIF(OFFSET(M1_top,0,4):OFFSET(M1_bot,0,4),"Tele")</f>
        <v>4</v>
      </c>
      <c r="F60" s="16">
        <f>fee_review</f>
        <v>200</v>
      </c>
      <c r="G60" s="17">
        <f ca="1">F60*E60</f>
        <v>800</v>
      </c>
      <c r="H60" s="11"/>
      <c r="I60" s="13"/>
      <c r="J60" s="13"/>
      <c r="K60" s="13" t="s">
        <v>3</v>
      </c>
      <c r="L60" s="13">
        <f ca="1">COUNTIF(OFFSET(M2_top,0,4):OFFSET(M2_bot,0,4),"Review") + COUNTIF(OFFSET(M2_top,0,4):OFFSET(M2_bot,0,4),"Tele")</f>
        <v>5</v>
      </c>
      <c r="M60" s="16">
        <f>fee_review</f>
        <v>200</v>
      </c>
      <c r="N60" s="17">
        <f ca="1">M60*L60</f>
        <v>1000</v>
      </c>
      <c r="P60" s="13"/>
      <c r="Q60" s="13"/>
      <c r="R60" s="13" t="s">
        <v>3</v>
      </c>
      <c r="S60" s="13">
        <f ca="1">COUNTIF(OFFSET(M3_top,0,4):OFFSET(M3_bot,0,4),"Review") + COUNTIF(OFFSET(M3_top,0,4):OFFSET(M3_bot,0,4),"Tele")</f>
        <v>6</v>
      </c>
      <c r="T60" s="16">
        <v>200</v>
      </c>
      <c r="U60" s="16">
        <f ca="1">T60*S60</f>
        <v>1200</v>
      </c>
    </row>
    <row r="61" spans="2:21" ht="14.1" customHeight="1">
      <c r="B61" s="13"/>
      <c r="C61" s="13"/>
      <c r="D61" s="15"/>
      <c r="E61" s="15"/>
      <c r="F61" s="15"/>
      <c r="G61" s="17">
        <f ca="1">SUM(G59:G60)</f>
        <v>4400</v>
      </c>
      <c r="H61" s="18"/>
      <c r="I61" s="15"/>
      <c r="J61" s="13"/>
      <c r="K61" s="15"/>
      <c r="L61" s="15"/>
      <c r="M61" s="15"/>
      <c r="N61" s="17">
        <f ca="1">SUM(N59:N60)</f>
        <v>4600</v>
      </c>
      <c r="O61" s="3"/>
      <c r="P61" s="15"/>
      <c r="Q61" s="15"/>
      <c r="R61" s="15"/>
      <c r="S61" s="15"/>
      <c r="T61" s="19"/>
      <c r="U61" s="19">
        <f ca="1">SUM(U59:U60)</f>
        <v>5700</v>
      </c>
    </row>
    <row r="62" spans="2:21" ht="14.1" customHeight="1">
      <c r="B62" s="2"/>
      <c r="C62" s="2"/>
      <c r="D62" s="4"/>
      <c r="E62" s="4"/>
      <c r="F62" s="4"/>
      <c r="G62" s="4"/>
      <c r="H62" s="3"/>
      <c r="I62" s="4"/>
      <c r="J62" s="2"/>
      <c r="K62" s="4"/>
      <c r="L62" s="4"/>
      <c r="M62" s="4"/>
      <c r="N62" s="5">
        <f ca="1">N61-G61</f>
        <v>200</v>
      </c>
      <c r="O62" s="3"/>
      <c r="P62" s="4"/>
      <c r="Q62" s="4"/>
      <c r="R62" s="4"/>
      <c r="S62" s="4"/>
      <c r="T62" s="4"/>
      <c r="U62" s="5">
        <f ca="1">U61-G61</f>
        <v>1300</v>
      </c>
    </row>
    <row r="63" spans="2:21" ht="14.1" customHeight="1">
      <c r="B63" s="2"/>
      <c r="C63" s="2"/>
      <c r="D63" s="2"/>
      <c r="E63" s="2"/>
      <c r="F63" s="2"/>
      <c r="G63" s="2"/>
      <c r="I63" s="2"/>
      <c r="J63" s="2"/>
      <c r="K63" s="2"/>
      <c r="L63" s="2"/>
      <c r="M63" s="4"/>
      <c r="N63" s="6">
        <f ca="1">N62/G61</f>
        <v>4.5454545454545456E-2</v>
      </c>
      <c r="O63" s="3"/>
      <c r="P63" s="4"/>
      <c r="Q63" s="4"/>
      <c r="R63" s="4"/>
      <c r="S63" s="4"/>
      <c r="T63" s="4"/>
      <c r="U63" s="6">
        <f ca="1">U62/G61</f>
        <v>0.29545454545454547</v>
      </c>
    </row>
    <row r="64" spans="2:21" ht="14.1" customHeight="1"/>
    <row r="65" spans="2:21" ht="14.1" customHeight="1"/>
    <row r="66" spans="2:21" ht="14.1" customHeight="1">
      <c r="B66" s="3"/>
    </row>
    <row r="67" spans="2:21" ht="14.1" customHeight="1"/>
    <row r="68" spans="2:21" ht="14.1" customHeight="1">
      <c r="B68" s="3"/>
      <c r="C68" s="3"/>
      <c r="D68" s="3"/>
      <c r="E68" s="3"/>
      <c r="G68" s="7" t="s">
        <v>23</v>
      </c>
    </row>
    <row r="69" spans="2:21" ht="14.1" customHeight="1">
      <c r="B69" s="3" t="s">
        <v>12</v>
      </c>
      <c r="C69" s="3"/>
      <c r="D69" s="3" t="s">
        <v>9</v>
      </c>
      <c r="E69" s="3"/>
      <c r="G69" s="9">
        <v>900</v>
      </c>
      <c r="I69" s="3" t="s">
        <v>20</v>
      </c>
      <c r="J69" s="3"/>
      <c r="K69" s="3"/>
      <c r="L69" s="3"/>
      <c r="M69" s="3"/>
      <c r="N69" s="3"/>
      <c r="O69" s="3"/>
      <c r="P69" s="3" t="s">
        <v>20</v>
      </c>
      <c r="Q69" s="3"/>
      <c r="R69" s="3"/>
      <c r="S69" s="3"/>
      <c r="T69" s="3"/>
      <c r="U69" s="3"/>
    </row>
    <row r="70" spans="2:21" ht="14.1" customHeight="1">
      <c r="B70" s="3"/>
      <c r="C70" s="3"/>
      <c r="D70" s="3" t="s">
        <v>10</v>
      </c>
      <c r="E70" s="3"/>
      <c r="G70" s="9">
        <v>1230</v>
      </c>
      <c r="I70" s="3"/>
      <c r="J70" s="3" t="s">
        <v>22</v>
      </c>
      <c r="K70" s="3"/>
      <c r="L70" s="3"/>
      <c r="M70" s="3"/>
      <c r="N70" s="3"/>
      <c r="O70" s="3"/>
      <c r="P70" s="3"/>
      <c r="Q70" s="3" t="s">
        <v>29</v>
      </c>
      <c r="R70" s="3"/>
      <c r="S70" s="3"/>
      <c r="T70" s="3"/>
      <c r="U70" s="3" t="s">
        <v>21</v>
      </c>
    </row>
    <row r="71" spans="2:21" ht="14.1" customHeight="1">
      <c r="B71" s="3"/>
      <c r="C71" s="3"/>
      <c r="D71" s="3"/>
      <c r="E71" s="3"/>
      <c r="G71" s="9"/>
      <c r="I71" s="3"/>
      <c r="J71" s="3" t="s">
        <v>27</v>
      </c>
      <c r="K71" s="3"/>
      <c r="L71" s="3"/>
      <c r="M71" s="3"/>
      <c r="N71" s="3"/>
      <c r="O71" s="3"/>
      <c r="P71" s="3"/>
      <c r="Q71" s="3" t="s">
        <v>30</v>
      </c>
      <c r="R71" s="3"/>
      <c r="S71" s="3"/>
      <c r="T71" s="3"/>
      <c r="U71" s="3"/>
    </row>
    <row r="72" spans="2:21" ht="14.1" customHeight="1">
      <c r="B72" s="3" t="s">
        <v>13</v>
      </c>
      <c r="C72" s="3"/>
      <c r="D72" s="3" t="s">
        <v>15</v>
      </c>
      <c r="E72" s="3"/>
      <c r="G72" s="9">
        <v>20</v>
      </c>
      <c r="H72" s="1" t="s">
        <v>37</v>
      </c>
      <c r="I72" s="3"/>
      <c r="J72" s="3"/>
      <c r="K72" s="3"/>
      <c r="L72" s="3"/>
      <c r="M72" s="3"/>
      <c r="N72" s="3"/>
      <c r="O72" s="3"/>
      <c r="P72" s="3"/>
      <c r="Q72" s="3" t="s">
        <v>31</v>
      </c>
      <c r="R72" s="3"/>
      <c r="S72" s="3"/>
      <c r="T72" s="3"/>
      <c r="U72" s="3"/>
    </row>
    <row r="73" spans="2:21" ht="14.1" customHeight="1">
      <c r="B73" s="3"/>
      <c r="C73" s="3"/>
      <c r="D73" s="3" t="s">
        <v>14</v>
      </c>
      <c r="E73" s="3"/>
      <c r="G73" s="9">
        <v>10</v>
      </c>
      <c r="H73" s="1" t="s">
        <v>37</v>
      </c>
      <c r="I73" s="3"/>
      <c r="J73" s="3"/>
      <c r="K73" s="3"/>
      <c r="L73" s="3"/>
      <c r="M73" s="3"/>
      <c r="N73" s="3"/>
      <c r="O73" s="3"/>
      <c r="P73" s="3"/>
      <c r="Q73" s="3" t="s">
        <v>32</v>
      </c>
      <c r="R73" s="3"/>
      <c r="S73" s="3"/>
      <c r="T73" s="3"/>
      <c r="U73" s="3"/>
    </row>
    <row r="74" spans="2:21" ht="14.1" customHeight="1">
      <c r="B74" s="3"/>
      <c r="C74" s="3"/>
      <c r="D74" s="3"/>
      <c r="E74" s="3"/>
      <c r="G74" s="9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ht="14.1" customHeight="1">
      <c r="B75" s="3" t="s">
        <v>16</v>
      </c>
      <c r="C75" s="3"/>
      <c r="D75" s="3" t="s">
        <v>17</v>
      </c>
      <c r="E75" s="3"/>
      <c r="F75" s="1" t="s">
        <v>33</v>
      </c>
      <c r="G75" s="9">
        <v>1100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ht="14.1" customHeight="1">
      <c r="B76" s="3"/>
      <c r="C76" s="3"/>
      <c r="D76" s="3" t="s">
        <v>11</v>
      </c>
      <c r="E76" s="3"/>
      <c r="G76" s="9">
        <v>10</v>
      </c>
      <c r="H76" s="1" t="s">
        <v>37</v>
      </c>
      <c r="I76" s="3"/>
      <c r="J76" s="3"/>
      <c r="K76" s="3"/>
      <c r="L76" s="3"/>
      <c r="M76" s="3"/>
      <c r="N76" s="3"/>
      <c r="O76" s="3"/>
      <c r="P76" s="3"/>
      <c r="Q76" s="3" t="s">
        <v>28</v>
      </c>
      <c r="R76" s="3"/>
      <c r="S76" s="3"/>
      <c r="T76" s="3"/>
      <c r="U76" s="3"/>
    </row>
    <row r="77" spans="2:21" ht="14.1" customHeight="1">
      <c r="B77" s="3"/>
      <c r="C77" s="3"/>
      <c r="D77" s="3"/>
      <c r="E77" s="3"/>
      <c r="G77" s="9"/>
    </row>
    <row r="78" spans="2:21" ht="14.1" customHeight="1">
      <c r="B78" s="3" t="s">
        <v>7</v>
      </c>
      <c r="C78" s="3"/>
      <c r="D78" s="3" t="s">
        <v>18</v>
      </c>
      <c r="E78" s="3"/>
      <c r="G78" s="10">
        <v>450</v>
      </c>
    </row>
    <row r="79" spans="2:21" ht="14.1" customHeight="1">
      <c r="B79" s="3"/>
      <c r="C79" s="3"/>
      <c r="D79" s="3" t="s">
        <v>19</v>
      </c>
      <c r="E79" s="3"/>
      <c r="G79" s="10">
        <v>200</v>
      </c>
    </row>
    <row r="80" spans="2:21" ht="14.1" customHeight="1">
      <c r="B80" s="3"/>
      <c r="C80" s="3"/>
      <c r="D80" s="3"/>
      <c r="E80" s="3"/>
    </row>
    <row r="82" spans="5:6" ht="12" customHeight="1">
      <c r="E82" s="8" t="s">
        <v>34</v>
      </c>
      <c r="F82" s="8" t="s">
        <v>2</v>
      </c>
    </row>
    <row r="83" spans="5:6" ht="12" customHeight="1">
      <c r="E83" s="1" t="s">
        <v>50</v>
      </c>
      <c r="F83" s="1" t="s">
        <v>4</v>
      </c>
    </row>
    <row r="84" spans="5:6" ht="12" customHeight="1">
      <c r="E84" s="1" t="s">
        <v>52</v>
      </c>
      <c r="F84" s="1" t="s">
        <v>4</v>
      </c>
    </row>
    <row r="85" spans="5:6" ht="12" customHeight="1">
      <c r="E85" s="1" t="s">
        <v>51</v>
      </c>
      <c r="F85" s="1" t="s">
        <v>36</v>
      </c>
    </row>
    <row r="86" spans="5:6" ht="12" customHeight="1">
      <c r="E86" s="1" t="s">
        <v>53</v>
      </c>
      <c r="F86" s="1" t="s">
        <v>4</v>
      </c>
    </row>
    <row r="87" spans="5:6" ht="12" customHeight="1">
      <c r="E87" s="1" t="s">
        <v>54</v>
      </c>
      <c r="F87" s="1" t="s">
        <v>4</v>
      </c>
    </row>
    <row r="88" spans="5:6" ht="12" customHeight="1">
      <c r="E88" s="1" t="s">
        <v>55</v>
      </c>
      <c r="F88" s="1" t="s">
        <v>3</v>
      </c>
    </row>
    <row r="89" spans="5:6" ht="12" customHeight="1">
      <c r="E89" s="1" t="s">
        <v>56</v>
      </c>
      <c r="F89" s="1" t="s">
        <v>3</v>
      </c>
    </row>
    <row r="90" spans="5:6" ht="12" customHeight="1">
      <c r="E90" s="1" t="s">
        <v>57</v>
      </c>
      <c r="F90" s="1" t="s">
        <v>4</v>
      </c>
    </row>
    <row r="91" spans="5:6" ht="12" customHeight="1">
      <c r="E91" s="1" t="s">
        <v>58</v>
      </c>
      <c r="F91" s="1" t="s">
        <v>4</v>
      </c>
    </row>
    <row r="92" spans="5:6" ht="12" customHeight="1">
      <c r="E92" s="1" t="s">
        <v>59</v>
      </c>
      <c r="F92" s="1" t="s">
        <v>4</v>
      </c>
    </row>
    <row r="93" spans="5:6" ht="12" customHeight="1">
      <c r="E93" s="1" t="s">
        <v>60</v>
      </c>
      <c r="F93" s="1" t="s">
        <v>4</v>
      </c>
    </row>
    <row r="94" spans="5:6" ht="12" customHeight="1">
      <c r="E94" s="1" t="s">
        <v>35</v>
      </c>
      <c r="F94" s="1" t="s">
        <v>4</v>
      </c>
    </row>
    <row r="95" spans="5:6" ht="12" customHeight="1">
      <c r="E95" s="1" t="s">
        <v>38</v>
      </c>
      <c r="F95" s="1" t="s">
        <v>3</v>
      </c>
    </row>
    <row r="96" spans="5:6" ht="12" customHeight="1">
      <c r="E96" s="1" t="s">
        <v>39</v>
      </c>
      <c r="F96" s="1" t="s">
        <v>4</v>
      </c>
    </row>
    <row r="97" spans="5:6" ht="12" customHeight="1">
      <c r="E97" s="1" t="s">
        <v>40</v>
      </c>
      <c r="F97" s="1" t="s">
        <v>4</v>
      </c>
    </row>
    <row r="98" spans="5:6" ht="12" customHeight="1">
      <c r="E98" s="1" t="s">
        <v>41</v>
      </c>
      <c r="F98" s="1" t="s">
        <v>4</v>
      </c>
    </row>
    <row r="99" spans="5:6" ht="12" customHeight="1">
      <c r="E99" s="1" t="s">
        <v>42</v>
      </c>
      <c r="F99" s="1" t="s">
        <v>3</v>
      </c>
    </row>
    <row r="100" spans="5:6" ht="12" customHeight="1">
      <c r="E100" s="1" t="s">
        <v>43</v>
      </c>
      <c r="F100" s="1" t="s">
        <v>3</v>
      </c>
    </row>
    <row r="101" spans="5:6" ht="12" customHeight="1">
      <c r="E101" s="1" t="s">
        <v>44</v>
      </c>
      <c r="F101" s="1" t="s">
        <v>3</v>
      </c>
    </row>
  </sheetData>
  <phoneticPr fontId="6" type="noConversion"/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133350</xdr:colOff>
                    <xdr:row>81</xdr:row>
                    <xdr:rowOff>47625</xdr:rowOff>
                  </from>
                  <to>
                    <xdr:col>7</xdr:col>
                    <xdr:colOff>457200</xdr:colOff>
                    <xdr:row>84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Sheet2</vt:lpstr>
      <vt:lpstr>break_length</vt:lpstr>
      <vt:lpstr>break_time</vt:lpstr>
      <vt:lpstr>fee_new</vt:lpstr>
      <vt:lpstr>fee_review</vt:lpstr>
      <vt:lpstr>finish_time</vt:lpstr>
      <vt:lpstr>M1_bot</vt:lpstr>
      <vt:lpstr>M1_top</vt:lpstr>
      <vt:lpstr>M2_bot</vt:lpstr>
      <vt:lpstr>M2_top</vt:lpstr>
      <vt:lpstr>M3_bot</vt:lpstr>
      <vt:lpstr>M3_top</vt:lpstr>
      <vt:lpstr>P_new</vt:lpstr>
      <vt:lpstr>P_review</vt:lpstr>
      <vt:lpstr>patents</vt:lpstr>
      <vt:lpstr>start_time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Nimesh Piyatissa (Illawarra Shoalhaven LHD)</dc:creator>
  <cp:lastModifiedBy>HomePC</cp:lastModifiedBy>
  <cp:lastPrinted>2025-06-11T10:21:02Z</cp:lastPrinted>
  <dcterms:created xsi:type="dcterms:W3CDTF">2025-06-11T09:35:12Z</dcterms:created>
  <dcterms:modified xsi:type="dcterms:W3CDTF">2025-06-19T09:02:53Z</dcterms:modified>
</cp:coreProperties>
</file>